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97aecc7b5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чёт сметы" sheetId="1" r:id="Rc8b7fd58c351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4A"/>
      </x:patternFill>
    </x:fill>
    <x:fill>
      <x:patternFill patternType="solid">
        <x:fgColor rgb="FFD8EADF"/>
      </x:patternFill>
    </x:fill>
    <x:fill>
      <x:patternFill patternType="solid">
        <x:fgColor rgb="FFE4F0F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0" borderId="0" xfId="0" applyNumberFormat="1" applyFont="1" applyFill="1" applyBorder="1"/>
    <x:xf numFmtId="201" fontId="3" fillId="3" borderId="0" xfId="0" applyNumberFormat="1" applyFont="1" applyFill="1" applyBorder="1"/>
    <x:xf numFmtId="201" fontId="0" fillId="4" borderId="1" xfId="0" applyNumberFormat="1" applyFont="1" applyFill="1" applyBorder="1"/>
    <x:xf numFmtId="201" fontId="0" fillId="0" borderId="1" xfId="0" applyNumberFormat="1" applyFont="1" applyFill="1" applyBorder="1"/>
    <x:xf numFmtId="201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fdc2f422f428a" /><Relationship Type="http://schemas.openxmlformats.org/officeDocument/2006/relationships/theme" Target="/xl/theme/theme1.xml" Id="Rc471dbe6186b4bc0" /><Relationship Type="http://schemas.openxmlformats.org/officeDocument/2006/relationships/sharedStrings" Target="/xl/sharedStrings.xml" Id="Rfe5f56e55f6e4f85" /><Relationship Type="http://schemas.openxmlformats.org/officeDocument/2006/relationships/worksheet" Target="/xl/worksheets/sheet1.xml" Id="Rc8b7fd58c35147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9" hidden="0" customWidth="1"/>
    <x:col min="3" max="3" width="42" hidden="0" customWidth="1"/>
  </x:cols>
  <x:sheetData>
    <x:row r="1">
      <x:c r="A1" s="6" t="str">
        <x:v>ЖИВАГА — АЛЬТЕРНАТИВНАЯ СМЕТА 2026</x:v>
      </x:c>
      <x:c r="B1" s="6" t="str">
        <x:v>Значение</x:v>
      </x:c>
      <x:c r="C1" s="6" t="str">
        <x:v>Ед. / пояснение</x:v>
      </x:c>
    </x:row>
    <x:row r="2">
      <x:c r="A2" t="str">
        <x:v>Площадь по ЕГРН</x:v>
      </x:c>
      <x:c r="B2" s="16" t="n">
        <x:v>44689</x:v>
      </x:c>
      <x:c r="C2" t="str">
        <x:v>м², проверьте данные</x:v>
      </x:c>
    </x:row>
    <x:row r="3">
      <x:c r="A3" t="str">
        <x:v>Площадь по протоколам</x:v>
      </x:c>
      <x:c r="B3" s="16" t="n">
        <x:v>45506</x:v>
      </x:c>
      <x:c r="C3" t="str">
        <x:v>м²</x:v>
      </x:c>
    </x:row>
    <x:row r="4">
      <x:c r="A4" t="str">
        <x:v>Выбор площади (1 = ЕГРН, 2 = протоколы)</x:v>
      </x:c>
      <x:c r="B4" s="16" t="n">
        <x:v>2</x:v>
      </x:c>
      <x:c r="C4" t="str">
        <x:v>изменяемое</x:v>
      </x:c>
    </x:row>
    <x:row r="5">
      <x:c r="A5" t="str">
        <x:v>Используемая площадь</x:v>
      </x:c>
      <x:c r="B5" s="17" t="n">
        <x:f>IF(B4=1,B2,B3)</x:f>
        <x:v>45506</x:v>
      </x:c>
      <x:c r="C5" t="str">
        <x:v>м²</x:v>
      </x:c>
    </x:row>
    <x:row r="6">
      <x:c r="B6" s="17"/>
    </x:row>
    <x:row r="7">
      <x:c r="A7" t="str">
        <x:v>Председатель, начислено за месяц</x:v>
      </x:c>
      <x:c r="B7" s="16" t="n">
        <x:v>20000</x:v>
      </x:c>
      <x:c r="C7" t="str">
        <x:v>руб. до НДФЛ</x:v>
      </x:c>
    </x:row>
    <x:row r="8">
      <x:c r="A8" t="str">
        <x:v>НДФЛ</x:v>
      </x:c>
      <x:c r="B8" s="14" t="n">
        <x:v>0.13</x:v>
      </x:c>
      <x:c r="C8" t="str">
        <x:v>удержание из зарплаты</x:v>
      </x:c>
    </x:row>
    <x:row r="9">
      <x:c r="A9" t="str">
        <x:v>Страховые работодателя</x:v>
      </x:c>
      <x:c r="B9" s="14" t="n">
        <x:v>0.3</x:v>
      </x:c>
      <x:c r="C9" t="str">
        <x:v>изменяемая ставка</x:v>
      </x:c>
    </x:row>
    <x:row r="10">
      <x:c r="A10" t="str">
        <x:v>Травматизм</x:v>
      </x:c>
      <x:c r="B10" s="14" t="n">
        <x:v>0.002</x:v>
      </x:c>
      <x:c r="C10" t="str">
        <x:v>изменяемая ставка</x:v>
      </x:c>
    </x:row>
    <x:row r="11">
      <x:c r="A11" t="str">
        <x:v>Бухгалтер ИП/самозанятый, договор в месяц</x:v>
      </x:c>
      <x:c r="B11" s="16" t="n">
        <x:v>15000</x:v>
      </x:c>
      <x:c r="C11" t="str">
        <x:v>руб.</x:v>
      </x:c>
    </x:row>
    <x:row r="12">
      <x:c r="A12" t="str">
        <x:v>Председатель, на руки в месяц</x:v>
      </x:c>
      <x:c r="B12" s="17" t="n">
        <x:f>B7*(1-B8)</x:f>
        <x:v>17400</x:v>
      </x:c>
      <x:c r="C12" t="str">
        <x:v>не прибавлять НДФЛ повторно</x:v>
      </x:c>
    </x:row>
    <x:row r="13">
      <x:c r="A13" t="str">
        <x:v>Работодатель: взносы в месяц</x:v>
      </x:c>
      <x:c r="B13" s="17" t="n">
        <x:f>B7*(B9+B10)</x:f>
        <x:v>6040</x:v>
      </x:c>
      <x:c r="C13" t="str"/>
    </x:row>
    <x:row r="14">
      <x:c r="A14" t="str">
        <x:v>Управление и бухгалтерия в год</x:v>
      </x:c>
      <x:c r="B14" s="17" t="n">
        <x:f>(B7+B13+B11)*12</x:f>
        <x:v>492480</x:v>
      </x:c>
      <x:c r="C14" t="str"/>
    </x:row>
    <x:row r="15">
      <x:c r="B15" s="17"/>
    </x:row>
    <x:row r="16">
      <x:c r="A16" s="10" t="str">
        <x:v>НОРМАТИВ И ВЫВОЗ МУСОРА</x:v>
      </x:c>
      <x:c r="B16" s="18"/>
      <x:c r="C16" s="10"/>
    </x:row>
    <x:row r="17">
      <x:c r="A17" t="str">
        <x:v>Расчётный норматив на 1 м²</x:v>
      </x:c>
      <x:c r="B17" s="16" t="n">
        <x:v>0.004</x:v>
      </x:c>
      <x:c r="C17" t="str">
        <x:v>м³/м² за год; уточнить применимость</x:v>
      </x:c>
    </x:row>
    <x:row r="18">
      <x:c r="A18" t="str">
        <x:v>Коэффициент к нормативу</x:v>
      </x:c>
      <x:c r="B18" s="16" t="n">
        <x:v>1</x:v>
      </x:c>
      <x:c r="C18" t="str">
        <x:v>уточнить по договору</x:v>
      </x:c>
    </x:row>
    <x:row r="19">
      <x:c r="A19" t="str">
        <x:v>Нормативный объём</x:v>
      </x:c>
      <x:c r="B19" s="17" t="n">
        <x:f>B5*B17*B18</x:f>
        <x:v>182.024</x:v>
      </x:c>
      <x:c r="C19" t="str">
        <x:v>м³ в год</x:v>
      </x:c>
    </x:row>
    <x:row r="20">
      <x:c r="A20" t="str">
        <x:v>Бункер</x:v>
      </x:c>
      <x:c r="B20" s="16" t="n">
        <x:v>8</x:v>
      </x:c>
      <x:c r="C20" t="str">
        <x:v>м³</x:v>
      </x:c>
    </x:row>
    <x:row r="21">
      <x:c r="A21" t="str">
        <x:v>Количество вывозов за год</x:v>
      </x:c>
      <x:c r="B21" s="16" t="n">
        <x:v>9</x:v>
      </x:c>
      <x:c r="C21" t="str">
        <x:v>изменяемое</x:v>
      </x:c>
    </x:row>
    <x:row r="22">
      <x:c r="A22" t="str">
        <x:v>Цена вывоза бункера</x:v>
      </x:c>
      <x:c r="B22" s="16" t="n">
        <x:v>9031.22</x:v>
      </x:c>
      <x:c r="C22" t="str">
        <x:v>руб. пример</x:v>
      </x:c>
    </x:row>
    <x:row r="23">
      <x:c r="A23" t="str">
        <x:v>Объём по бункерам</x:v>
      </x:c>
      <x:c r="B23" s="17" t="n">
        <x:f>B20*B21</x:f>
        <x:v>72</x:v>
      </x:c>
      <x:c r="C23" t="str">
        <x:v>м³ за год</x:v>
      </x:c>
    </x:row>
    <x:row r="24">
      <x:c r="A24" t="str">
        <x:v>Разница объёмов</x:v>
      </x:c>
      <x:c r="B24" s="17" t="n">
        <x:f>B23-B19</x:f>
        <x:v>-110.024</x:v>
      </x:c>
      <x:c r="C24" t="str">
        <x:v>м³</x:v>
      </x:c>
    </x:row>
    <x:row r="25">
      <x:c r="A25" t="str">
        <x:v>Расходы на вывоз мусора</x:v>
      </x:c>
      <x:c r="B25" s="17" t="n">
        <x:f>B21*B22</x:f>
        <x:v>81280.98</x:v>
      </x:c>
      <x:c r="C25" t="str">
        <x:v>руб. в год</x:v>
      </x:c>
    </x:row>
    <x:row r="26">
      <x:c r="B26" s="17"/>
    </x:row>
    <x:row r="27">
      <x:c r="A27" s="10" t="str">
        <x:v>СВЕТ, ВОРОТА, КАМЕРЫ</x:v>
      </x:c>
      <x:c r="B27" s="18"/>
      <x:c r="C27" s="10"/>
    </x:row>
    <x:row r="28">
      <x:c r="A28" t="str">
        <x:v>Уличные лампы</x:v>
      </x:c>
      <x:c r="B28" s="16" t="n">
        <x:v>25</x:v>
      </x:c>
      <x:c r="C28" t="str">
        <x:v>шт.</x:v>
      </x:c>
    </x:row>
    <x:row r="29">
      <x:c r="A29" t="str">
        <x:v>Мощность лампы</x:v>
      </x:c>
      <x:c r="B29" s="16" t="n">
        <x:v>50</x:v>
      </x:c>
      <x:c r="C29" t="str">
        <x:v>Вт</x:v>
      </x:c>
    </x:row>
    <x:row r="30">
      <x:c r="A30" t="str">
        <x:v>Часов в сутки</x:v>
      </x:c>
      <x:c r="B30" s="16" t="n">
        <x:v>12</x:v>
      </x:c>
      <x:c r="C30" t="str">
        <x:v>ч</x:v>
      </x:c>
    </x:row>
    <x:row r="31">
      <x:c r="A31" t="str">
        <x:v>Тариф</x:v>
      </x:c>
      <x:c r="B31" s="16" t="n">
        <x:v>6.29</x:v>
      </x:c>
      <x:c r="C31" t="str">
        <x:v>руб./кВт·ч</x:v>
      </x:c>
    </x:row>
    <x:row r="32">
      <x:c r="A32" t="str">
        <x:v>Годовое потребление уличного света</x:v>
      </x:c>
      <x:c r="B32" s="17" t="n">
        <x:f>B28*B29/1000*B30*365</x:f>
        <x:v>5475</x:v>
      </x:c>
      <x:c r="C32" t="str">
        <x:v>кВт·ч</x:v>
      </x:c>
    </x:row>
    <x:row r="33">
      <x:c r="A33" t="str">
        <x:v>Стоимость уличного света</x:v>
      </x:c>
      <x:c r="B33" s="17" t="n">
        <x:f>B32*B31</x:f>
        <x:v>34437.75</x:v>
      </x:c>
      <x:c r="C33" t="str">
        <x:v>руб.</x:v>
      </x:c>
    </x:row>
    <x:row r="34">
      <x:c r="A34" t="str">
        <x:v>Ворота, потребление в год</x:v>
      </x:c>
      <x:c r="B34" s="16" t="n">
        <x:v>400</x:v>
      </x:c>
      <x:c r="C34" t="str">
        <x:v>кВт·ч</x:v>
      </x:c>
    </x:row>
    <x:row r="35">
      <x:c r="A35" t="str">
        <x:v>Ворота, прочие расходы</x:v>
      </x:c>
      <x:c r="B35" s="16" t="n">
        <x:v>0</x:v>
      </x:c>
      <x:c r="C35" t="str">
        <x:v>руб.</x:v>
      </x:c>
    </x:row>
    <x:row r="36">
      <x:c r="A36" t="str">
        <x:v>Расходы на ворота</x:v>
      </x:c>
      <x:c r="B36" s="17" t="n">
        <x:f>B34*B31+B35</x:f>
        <x:v>2516</x:v>
      </x:c>
      <x:c r="C36" t="str">
        <x:v>руб.</x:v>
      </x:c>
    </x:row>
    <x:row r="37">
      <x:c r="A37" t="str">
        <x:v>Количество камер</x:v>
      </x:c>
      <x:c r="B37" s="16" t="n">
        <x:v>8</x:v>
      </x:c>
      <x:c r="C37" t="str">
        <x:v>шт.</x:v>
      </x:c>
    </x:row>
    <x:row r="38">
      <x:c r="A38" t="str">
        <x:v>Мощность камеры</x:v>
      </x:c>
      <x:c r="B38" s="16" t="n">
        <x:v>6</x:v>
      </x:c>
      <x:c r="C38" t="str">
        <x:v>Вт</x:v>
      </x:c>
    </x:row>
    <x:row r="39">
      <x:c r="A39" t="str">
        <x:v>Камеры, прочие расходы</x:v>
      </x:c>
      <x:c r="B39" s="16" t="n">
        <x:v>0</x:v>
      </x:c>
      <x:c r="C39" t="str">
        <x:v>руб.</x:v>
      </x:c>
    </x:row>
    <x:row r="40">
      <x:c r="A40" t="str">
        <x:v>Расходы на камеры</x:v>
      </x:c>
      <x:c r="B40" s="17" t="n">
        <x:f>B37*B38/1000*24*365*B31+B39</x:f>
        <x:v>2644.8192000000004</x:v>
      </x:c>
      <x:c r="C40" t="str">
        <x:v>руб.</x:v>
      </x:c>
    </x:row>
    <x:row r="41">
      <x:c r="A41" t="str">
        <x:v>Свет, ворота, камеры — вместе</x:v>
      </x:c>
      <x:c r="B41" s="17" t="n">
        <x:f>SUM(B33,B36,B40)</x:f>
        <x:v>39598.5692</x:v>
      </x:c>
      <x:c r="C41" t="str">
        <x:v>руб.</x:v>
      </x:c>
    </x:row>
    <x:row r="42">
      <x:c r="B42" s="17"/>
    </x:row>
    <x:row r="43">
      <x:c r="A43" s="10" t="str">
        <x:v>ПРОЧИЕ СТАТЬИ</x:v>
      </x:c>
      <x:c r="B43" s="18"/>
      <x:c r="C43" s="10"/>
    </x:row>
    <x:row r="44">
      <x:c r="A44" t="str">
        <x:v>Обслуживание электросетей</x:v>
      </x:c>
      <x:c r="B44" s="16" t="n">
        <x:v>70000</x:v>
      </x:c>
      <x:c r="C44" t="str">
        <x:v>руб.</x:v>
      </x:c>
    </x:row>
    <x:row r="45">
      <x:c r="A45" t="str">
        <x:v>Уборка снега</x:v>
      </x:c>
      <x:c r="B45" s="16" t="n">
        <x:v>90000</x:v>
      </x:c>
      <x:c r="C45" t="str">
        <x:v>руб.</x:v>
      </x:c>
    </x:row>
    <x:row r="46">
      <x:c r="A46" t="str">
        <x:v>Хозяйственные расходы и ремонт</x:v>
      </x:c>
      <x:c r="B46" s="16" t="n">
        <x:v>120000</x:v>
      </x:c>
      <x:c r="C46" t="str">
        <x:v>руб.</x:v>
      </x:c>
    </x:row>
    <x:row r="47">
      <x:c r="A47" t="str">
        <x:v>Банк, ЭДО, 1С и отчётность</x:v>
      </x:c>
      <x:c r="B47" s="16" t="n">
        <x:v>23000</x:v>
      </x:c>
      <x:c r="C47" t="str">
        <x:v>руб.</x:v>
      </x:c>
    </x:row>
    <x:row r="48">
      <x:c r="A48" t="str">
        <x:v>Резерв и непредвиденные</x:v>
      </x:c>
      <x:c r="B48" s="16" t="n">
        <x:v>60000</x:v>
      </x:c>
      <x:c r="C48" t="str">
        <x:v>руб.</x:v>
      </x:c>
    </x:row>
    <x:row r="49">
      <x:c r="A49" t="str">
        <x:v>Юридические услуги ЗОП (отдельные целевые)</x:v>
      </x:c>
      <x:c r="B49" s="16" t="n">
        <x:v>0</x:v>
      </x:c>
      <x:c r="C49" t="str">
        <x:v>руб.</x:v>
      </x:c>
    </x:row>
    <x:row r="50">
      <x:c r="B50" s="17"/>
    </x:row>
    <x:row r="51">
      <x:c r="A51" s="10" t="str">
        <x:v>ВСЕГО РАСХОДОВ</x:v>
      </x:c>
      <x:c r="B51" s="18" t="n">
        <x:f>SUM(B14,B25,B41,B44:B49)</x:f>
        <x:v>976359.5492</x:v>
      </x:c>
      <x:c r="C51" s="10" t="str">
        <x:v>руб.</x:v>
      </x:c>
    </x:row>
    <x:row r="52">
      <x:c r="A52" t="str">
        <x:v>Ставка на 1 м²</x:v>
      </x:c>
      <x:c r="B52" s="17" t="n">
        <x:f>IFERROR(B51/B5,0)</x:f>
        <x:v>21.455622317936097</x:v>
      </x:c>
      <x:c r="C52" t="str">
        <x:v>руб./м² в год</x:v>
      </x:c>
    </x:row>
    <x:row r="53">
      <x:c r="A53" t="str">
        <x:v>Ставка на 1 сотку</x:v>
      </x:c>
      <x:c r="B53" s="17" t="n">
        <x:f>B52*100</x:f>
        <x:v>2145.5622317936095</x:v>
      </x:c>
      <x:c r="C53" t="str">
        <x:v>руб./100 м² в год</x:v>
      </x:c>
    </x:row>
    <x:row r="55">
      <x:c r="A55" t="str">
        <x:v>ВАЖНО: расчётная модель, не утверждённая смета.</x:v>
      </x:c>
      <x:c r="B55"/>
      <x:c r="C55"/>
    </x:row>
    <x:row r="56">
      <x:c r="A56" t="str">
        <x:v>Норматив ТКО и договорной порядок оплаты нуждаются в проверке.</x:v>
      </x:c>
      <x:c r="B56"/>
      <x:c r="C56"/>
    </x:row>
  </x:sheetData>
  <x:pageMargins left="0.7" right="0.7" top="0.75" bottom="0.75" header="0.3" footer="0.3"/>
</x:worksheet>
</file>